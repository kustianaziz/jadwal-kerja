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resume" sheetId="2" r:id="rId6"/>
  </sheets>
  <definedNames/>
  <calcPr/>
</workbook>
</file>

<file path=xl/sharedStrings.xml><?xml version="1.0" encoding="utf-8"?>
<sst xmlns="http://schemas.openxmlformats.org/spreadsheetml/2006/main" count="57" uniqueCount="52">
  <si>
    <t>Fase / Pekerjaan Teknis</t>
  </si>
  <si>
    <t>Bobot</t>
  </si>
  <si>
    <t>Mar-W1</t>
  </si>
  <si>
    <t>Fase Pekerjaan</t>
  </si>
  <si>
    <t>Mar-W2</t>
  </si>
  <si>
    <t>Mar-W3</t>
  </si>
  <si>
    <t>Mar-W4</t>
  </si>
  <si>
    <t>Bobot Total</t>
  </si>
  <si>
    <t>Apr-W1</t>
  </si>
  <si>
    <t>Total Realisasi</t>
  </si>
  <si>
    <t>Apr-W2</t>
  </si>
  <si>
    <t>Status Target</t>
  </si>
  <si>
    <t>Apr-W3</t>
  </si>
  <si>
    <t>FASE I: ANALISA &amp; DESAIN</t>
  </si>
  <si>
    <t>Apr-W4</t>
  </si>
  <si>
    <t>Mei-W1</t>
  </si>
  <si>
    <t>Mei-W2</t>
  </si>
  <si>
    <t>Mei-W3</t>
  </si>
  <si>
    <t>Mei-W4</t>
  </si>
  <si>
    <t>Jun-W1</t>
  </si>
  <si>
    <t>Jun-W2</t>
  </si>
  <si>
    <t>Jun-W3</t>
  </si>
  <si>
    <t>Jun-W4</t>
  </si>
  <si>
    <t>Jul-W1</t>
  </si>
  <si>
    <t>Jul-W2</t>
  </si>
  <si>
    <t>Jul-W3</t>
  </si>
  <si>
    <t>Jul-W4</t>
  </si>
  <si>
    <t>Agu-W1</t>
  </si>
  <si>
    <t>Agu-W2</t>
  </si>
  <si>
    <t>Agu-W3</t>
  </si>
  <si>
    <t>Agu-W4</t>
  </si>
  <si>
    <t>Total Progres</t>
  </si>
  <si>
    <t>Realisasi</t>
  </si>
  <si>
    <t>FASE II: PEMBUATAN SISTEM BUMY</t>
  </si>
  <si>
    <t>FASE III: DASHBOARD EKSEKUTIF</t>
  </si>
  <si>
    <t>FASE IV: INFRASTRUKTUR TI</t>
  </si>
  <si>
    <t>FASE V: TESTING &amp; IMPLEMENTASI</t>
  </si>
  <si>
    <t>TOTAL KESELURUHAN</t>
  </si>
  <si>
    <t>Identifikasi Stakeholder 11 BUMY</t>
  </si>
  <si>
    <t>Standarisasi COA Yayasan &amp; Arsitektur</t>
  </si>
  <si>
    <t>Perancangan ERD &amp; Data Dictionary</t>
  </si>
  <si>
    <t>Wireframe UI/UX &amp; Desain Endpoint</t>
  </si>
  <si>
    <t>Modul Master Unit &amp; Registrasi User</t>
  </si>
  <si>
    <t>Input Transaksi Harian &amp; Jurnal Umum</t>
  </si>
  <si>
    <t>Processing GL &amp; Tutup Periode</t>
  </si>
  <si>
    <t>Otomatisasi Laporan Keuangan</t>
  </si>
  <si>
    <t>Audit Trail &amp; Role Management</t>
  </si>
  <si>
    <t>Logic Konsolidasi &amp; Eliminasi</t>
  </si>
  <si>
    <t>Prototype Dashboard</t>
  </si>
  <si>
    <t>Spesifikasi Endpoint API</t>
  </si>
  <si>
    <t>Aplikasi BUMY</t>
  </si>
  <si>
    <t>Dashboard YKEP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</si>
</sst>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9" xfId="0" applyFont="1" applyNumberFormat="1"/>
    <xf borderId="0" fillId="0" fontId="1" numFmtId="164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0" xfId="0" applyFont="1" applyNumberForma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2" numFmtId="10" xfId="0" applyAlignment="1" applyFont="1" applyNumberFormat="1">
      <alignment horizontal="center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.38"/>
    <col customWidth="1" min="3" max="6" width="6.88"/>
    <col customWidth="1" min="7" max="10" width="6.63"/>
    <col customWidth="1" min="11" max="18" width="6.75"/>
    <col customWidth="1" min="19" max="22" width="6.13"/>
    <col customWidth="1" min="23" max="26" width="7.0"/>
    <col customWidth="1" min="27" max="27" width="10.88"/>
    <col customWidth="1" min="28" max="28" width="7.75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4" t="s">
        <v>31</v>
      </c>
      <c r="AB1" s="5" t="s">
        <v>32</v>
      </c>
      <c r="AC1" s="7"/>
      <c r="AD1" s="3"/>
    </row>
    <row r="2">
      <c r="A2" s="8" t="s">
        <v>13</v>
      </c>
      <c r="B2" s="9">
        <v>0.2</v>
      </c>
      <c r="C2" s="11">
        <f t="shared" ref="C2:Z2" si="1">sum(C3:C6)</f>
        <v>0.9</v>
      </c>
      <c r="D2" s="11">
        <f t="shared" si="1"/>
        <v>1</v>
      </c>
      <c r="E2" s="11">
        <f t="shared" si="1"/>
        <v>0.8</v>
      </c>
      <c r="F2" s="11">
        <f t="shared" si="1"/>
        <v>0.9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2">
        <f>AVERAGE(AA3:AA6)</f>
        <v>0.9</v>
      </c>
      <c r="AB2" s="13">
        <f t="shared" ref="AB2:AB17" si="2">B2*AA2</f>
        <v>0.18</v>
      </c>
      <c r="AC2" s="7">
        <f>AB2/2</f>
        <v>0.09</v>
      </c>
      <c r="AD2" s="3"/>
      <c r="AL2" s="3">
        <f>SUM(C2:Z2)</f>
        <v>3.6</v>
      </c>
      <c r="AM2" s="3">
        <f>B2*AA2</f>
        <v>0.18</v>
      </c>
    </row>
    <row r="3">
      <c r="A3" s="1" t="s">
        <v>38</v>
      </c>
      <c r="B3" s="9">
        <v>0.05</v>
      </c>
      <c r="C3" s="14">
        <v>0.3</v>
      </c>
      <c r="D3" s="14">
        <v>0.3</v>
      </c>
      <c r="E3" s="14">
        <v>0.2</v>
      </c>
      <c r="F3" s="14">
        <v>0.15</v>
      </c>
      <c r="G3" s="14">
        <v>0.0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  <c r="X3" s="14">
        <v>0.0</v>
      </c>
      <c r="Y3" s="14">
        <v>0.0</v>
      </c>
      <c r="Z3" s="14">
        <v>0.0</v>
      </c>
      <c r="AA3" s="12">
        <f t="shared" ref="AA3:AA6" si="3">SUM(C3:Z3)</f>
        <v>0.95</v>
      </c>
      <c r="AB3" s="13">
        <f t="shared" si="2"/>
        <v>0.0475</v>
      </c>
      <c r="AC3" s="7"/>
      <c r="AD3" s="3"/>
    </row>
    <row r="4">
      <c r="A4" s="1" t="s">
        <v>39</v>
      </c>
      <c r="B4" s="9">
        <v>0.05</v>
      </c>
      <c r="C4" s="14">
        <v>0.2</v>
      </c>
      <c r="D4" s="14">
        <v>0.3</v>
      </c>
      <c r="E4" s="14">
        <v>0.2</v>
      </c>
      <c r="F4" s="14">
        <v>0.2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14">
        <v>0.0</v>
      </c>
      <c r="W4" s="14">
        <v>0.0</v>
      </c>
      <c r="X4" s="14">
        <v>0.0</v>
      </c>
      <c r="Y4" s="14">
        <v>0.0</v>
      </c>
      <c r="Z4" s="14">
        <v>0.0</v>
      </c>
      <c r="AA4" s="12">
        <f t="shared" si="3"/>
        <v>0.9</v>
      </c>
      <c r="AB4" s="13">
        <f t="shared" si="2"/>
        <v>0.045</v>
      </c>
      <c r="AC4" s="7"/>
      <c r="AD4" s="3"/>
    </row>
    <row r="5">
      <c r="A5" s="1" t="s">
        <v>40</v>
      </c>
      <c r="B5" s="9">
        <v>0.05</v>
      </c>
      <c r="C5" s="14">
        <v>0.2</v>
      </c>
      <c r="D5" s="14">
        <v>0.2</v>
      </c>
      <c r="E5" s="14">
        <v>0.2</v>
      </c>
      <c r="F5" s="14">
        <v>0.3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4">
        <v>0.0</v>
      </c>
      <c r="U5" s="14">
        <v>0.0</v>
      </c>
      <c r="V5" s="14">
        <v>0.0</v>
      </c>
      <c r="W5" s="14">
        <v>0.0</v>
      </c>
      <c r="X5" s="14">
        <v>0.0</v>
      </c>
      <c r="Y5" s="14">
        <v>0.0</v>
      </c>
      <c r="Z5" s="14">
        <v>0.0</v>
      </c>
      <c r="AA5" s="12">
        <f t="shared" si="3"/>
        <v>0.9</v>
      </c>
      <c r="AB5" s="13">
        <f t="shared" si="2"/>
        <v>0.045</v>
      </c>
      <c r="AC5" s="7"/>
      <c r="AD5" s="3"/>
    </row>
    <row r="6">
      <c r="A6" s="1" t="s">
        <v>41</v>
      </c>
      <c r="B6" s="9">
        <v>0.05</v>
      </c>
      <c r="C6" s="14">
        <v>0.2</v>
      </c>
      <c r="D6" s="14">
        <v>0.2</v>
      </c>
      <c r="E6" s="14">
        <v>0.2</v>
      </c>
      <c r="F6" s="14">
        <v>0.25</v>
      </c>
      <c r="G6" s="14">
        <v>0.0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  <c r="X6" s="14">
        <v>0.0</v>
      </c>
      <c r="Y6" s="14">
        <v>0.0</v>
      </c>
      <c r="Z6" s="14">
        <v>0.0</v>
      </c>
      <c r="AA6" s="12">
        <f t="shared" si="3"/>
        <v>0.85</v>
      </c>
      <c r="AB6" s="13">
        <f t="shared" si="2"/>
        <v>0.0425</v>
      </c>
      <c r="AC6" s="7"/>
      <c r="AD6" s="3"/>
    </row>
    <row r="7">
      <c r="A7" s="8" t="s">
        <v>33</v>
      </c>
      <c r="B7" s="9">
        <v>0.3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>
        <f>AVERAGE(AA8:AA11)</f>
        <v>0.775</v>
      </c>
      <c r="AB7" s="13">
        <f t="shared" si="2"/>
        <v>0.2325</v>
      </c>
      <c r="AC7" s="7">
        <f>AB7+AB19+AC2</f>
        <v>0.3675</v>
      </c>
      <c r="AD7" s="16">
        <v>0.475</v>
      </c>
      <c r="AE7" s="3">
        <f>AC7/AD7</f>
        <v>0.7736842105</v>
      </c>
      <c r="AL7" s="10">
        <f>SUM(C7:Z7)</f>
        <v>0</v>
      </c>
      <c r="AM7" s="3">
        <f>B7*AA7</f>
        <v>0.2325</v>
      </c>
    </row>
    <row r="8">
      <c r="A8" s="1" t="s">
        <v>42</v>
      </c>
      <c r="B8" s="9">
        <v>0.08</v>
      </c>
      <c r="C8" s="14">
        <v>0.0</v>
      </c>
      <c r="D8" s="14">
        <v>0.0</v>
      </c>
      <c r="E8" s="14">
        <v>0.0</v>
      </c>
      <c r="F8" s="14">
        <v>0.0</v>
      </c>
      <c r="G8" s="14">
        <v>0.3</v>
      </c>
      <c r="H8" s="14">
        <v>0.25</v>
      </c>
      <c r="I8" s="14">
        <v>0.2</v>
      </c>
      <c r="J8" s="14">
        <v>0.1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2">
        <f t="shared" ref="AA8:AA11" si="4">SUM(C8:Z8)</f>
        <v>0.85</v>
      </c>
      <c r="AB8" s="13">
        <f t="shared" si="2"/>
        <v>0.068</v>
      </c>
      <c r="AC8" s="7"/>
      <c r="AD8" s="3"/>
    </row>
    <row r="9">
      <c r="A9" s="1" t="s">
        <v>43</v>
      </c>
      <c r="B9" s="9">
        <v>0.1</v>
      </c>
      <c r="C9" s="14">
        <v>0.0</v>
      </c>
      <c r="D9" s="14">
        <v>0.0</v>
      </c>
      <c r="E9" s="14">
        <v>0.0</v>
      </c>
      <c r="F9" s="14">
        <v>0.0</v>
      </c>
      <c r="G9" s="14">
        <v>0.2</v>
      </c>
      <c r="H9" s="14">
        <v>0.2</v>
      </c>
      <c r="I9" s="14">
        <v>0.2</v>
      </c>
      <c r="J9" s="14">
        <v>0.2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2">
        <f t="shared" si="4"/>
        <v>0.8</v>
      </c>
      <c r="AB9" s="13">
        <f t="shared" si="2"/>
        <v>0.08</v>
      </c>
      <c r="AC9" s="7"/>
      <c r="AD9" s="3"/>
    </row>
    <row r="10">
      <c r="A10" s="1" t="s">
        <v>44</v>
      </c>
      <c r="B10" s="9">
        <v>0.07</v>
      </c>
      <c r="C10" s="14">
        <v>0.0</v>
      </c>
      <c r="D10" s="14">
        <v>0.0</v>
      </c>
      <c r="E10" s="14">
        <v>0.0</v>
      </c>
      <c r="F10" s="14">
        <v>0.0</v>
      </c>
      <c r="G10" s="14">
        <v>0.2</v>
      </c>
      <c r="H10" s="14">
        <v>0.2</v>
      </c>
      <c r="I10" s="14">
        <v>0.2</v>
      </c>
      <c r="J10" s="14">
        <v>0.15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2">
        <f t="shared" si="4"/>
        <v>0.75</v>
      </c>
      <c r="AB10" s="13">
        <f t="shared" si="2"/>
        <v>0.0525</v>
      </c>
      <c r="AC10" s="7"/>
      <c r="AD10" s="3"/>
    </row>
    <row r="11">
      <c r="A11" s="1" t="s">
        <v>45</v>
      </c>
      <c r="B11" s="9">
        <v>0.05</v>
      </c>
      <c r="C11" s="14">
        <v>0.0</v>
      </c>
      <c r="D11" s="14">
        <v>0.0</v>
      </c>
      <c r="E11" s="14">
        <v>0.0</v>
      </c>
      <c r="F11" s="14">
        <v>0.0</v>
      </c>
      <c r="G11" s="14">
        <v>0.15</v>
      </c>
      <c r="H11" s="14">
        <v>0.2</v>
      </c>
      <c r="I11" s="14">
        <v>0.2</v>
      </c>
      <c r="J11" s="14">
        <v>0.15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2">
        <f t="shared" si="4"/>
        <v>0.7</v>
      </c>
      <c r="AB11" s="13">
        <f t="shared" si="2"/>
        <v>0.035</v>
      </c>
      <c r="AC11" s="7"/>
      <c r="AD11" s="3"/>
    </row>
    <row r="12">
      <c r="A12" s="8" t="s">
        <v>34</v>
      </c>
      <c r="B12" s="9">
        <v>0.2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2">
        <f>AVERAGE(AA13:AA16)</f>
        <v>0.87</v>
      </c>
      <c r="AB12" s="13">
        <f t="shared" si="2"/>
        <v>0.174</v>
      </c>
      <c r="AC12" s="7">
        <f>AB12+AB20+AC2</f>
        <v>0.2715</v>
      </c>
      <c r="AD12" s="16">
        <v>0.375</v>
      </c>
      <c r="AE12" s="3">
        <f>AC12/AD12</f>
        <v>0.724</v>
      </c>
      <c r="AL12" s="10">
        <f>SUM(C12:Z12)</f>
        <v>0</v>
      </c>
      <c r="AM12" s="3">
        <f>B12*AA12</f>
        <v>0.174</v>
      </c>
    </row>
    <row r="13">
      <c r="A13" s="1" t="s">
        <v>46</v>
      </c>
      <c r="B13" s="9">
        <v>0.04</v>
      </c>
      <c r="C13" s="14">
        <v>0.0</v>
      </c>
      <c r="D13" s="14">
        <v>0.0</v>
      </c>
      <c r="E13" s="14">
        <v>0.0</v>
      </c>
      <c r="F13" s="14">
        <v>0.0</v>
      </c>
      <c r="G13" s="14">
        <v>0.2</v>
      </c>
      <c r="H13" s="14">
        <v>0.2</v>
      </c>
      <c r="I13" s="14">
        <v>0.15</v>
      </c>
      <c r="J13" s="14">
        <v>0.15</v>
      </c>
      <c r="K13" s="14">
        <v>0.05</v>
      </c>
      <c r="L13" s="14">
        <v>0.05</v>
      </c>
      <c r="M13" s="14">
        <v>0.05</v>
      </c>
      <c r="N13" s="14">
        <v>0.05</v>
      </c>
      <c r="O13" s="14">
        <v>0.05</v>
      </c>
      <c r="P13" s="14">
        <v>0.05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2">
        <f t="shared" ref="AA13:AA17" si="5">SUM(C13:Z13)</f>
        <v>1</v>
      </c>
      <c r="AB13" s="13">
        <f t="shared" si="2"/>
        <v>0.04</v>
      </c>
      <c r="AC13" s="7"/>
      <c r="AD13" s="3"/>
    </row>
    <row r="14">
      <c r="A14" s="1" t="s">
        <v>47</v>
      </c>
      <c r="B14" s="9">
        <v>0.06</v>
      </c>
      <c r="C14" s="14">
        <v>0.0</v>
      </c>
      <c r="D14" s="14">
        <v>0.0</v>
      </c>
      <c r="E14" s="14">
        <v>0.0</v>
      </c>
      <c r="F14" s="14">
        <v>0.0</v>
      </c>
      <c r="G14" s="14">
        <v>0.1</v>
      </c>
      <c r="H14" s="14">
        <v>0.15</v>
      </c>
      <c r="I14" s="14">
        <v>0.1</v>
      </c>
      <c r="J14" s="14">
        <v>0.1</v>
      </c>
      <c r="K14" s="14">
        <v>0.1</v>
      </c>
      <c r="L14" s="14">
        <v>0.1</v>
      </c>
      <c r="M14" s="14">
        <v>0.1</v>
      </c>
      <c r="N14" s="14">
        <v>0.1</v>
      </c>
      <c r="O14" s="14">
        <v>0.05</v>
      </c>
      <c r="P14" s="14">
        <v>0.05</v>
      </c>
      <c r="Q14" s="14">
        <v>0.05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2">
        <f t="shared" si="5"/>
        <v>1</v>
      </c>
      <c r="AB14" s="13">
        <f t="shared" si="2"/>
        <v>0.06</v>
      </c>
      <c r="AC14" s="7"/>
      <c r="AD14" s="3"/>
    </row>
    <row r="15">
      <c r="A15" s="1" t="s">
        <v>48</v>
      </c>
      <c r="B15" s="9">
        <v>0.05</v>
      </c>
      <c r="C15" s="14">
        <v>0.0</v>
      </c>
      <c r="D15" s="14">
        <v>0.0</v>
      </c>
      <c r="E15" s="14">
        <v>0.0</v>
      </c>
      <c r="F15" s="14">
        <v>0.0</v>
      </c>
      <c r="G15" s="14">
        <v>0.1</v>
      </c>
      <c r="H15" s="14">
        <v>0.1</v>
      </c>
      <c r="I15" s="14">
        <v>0.1</v>
      </c>
      <c r="J15" s="14">
        <v>0.04</v>
      </c>
      <c r="K15" s="14">
        <v>0.05</v>
      </c>
      <c r="L15" s="14">
        <v>0.05</v>
      </c>
      <c r="M15" s="14">
        <v>0.05</v>
      </c>
      <c r="N15" s="14">
        <v>0.05</v>
      </c>
      <c r="O15" s="14">
        <v>0.05</v>
      </c>
      <c r="P15" s="14">
        <v>0.05</v>
      </c>
      <c r="Q15" s="14">
        <v>0.05</v>
      </c>
      <c r="R15" s="14">
        <v>0.05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2">
        <f t="shared" si="5"/>
        <v>0.74</v>
      </c>
      <c r="AB15" s="13">
        <f t="shared" si="2"/>
        <v>0.037</v>
      </c>
      <c r="AC15" s="7"/>
      <c r="AD15" s="3"/>
    </row>
    <row r="16">
      <c r="A16" s="1" t="s">
        <v>49</v>
      </c>
      <c r="B16" s="9">
        <v>0.05</v>
      </c>
      <c r="C16" s="14">
        <v>0.0</v>
      </c>
      <c r="D16" s="14">
        <v>0.0</v>
      </c>
      <c r="E16" s="14">
        <v>0.0</v>
      </c>
      <c r="F16" s="14">
        <v>0.0</v>
      </c>
      <c r="G16" s="14">
        <v>0.1</v>
      </c>
      <c r="H16" s="14">
        <v>0.1</v>
      </c>
      <c r="I16" s="14">
        <v>0.1</v>
      </c>
      <c r="J16" s="14">
        <v>0.04</v>
      </c>
      <c r="K16" s="14">
        <v>0.05</v>
      </c>
      <c r="L16" s="14">
        <v>0.05</v>
      </c>
      <c r="M16" s="14">
        <v>0.05</v>
      </c>
      <c r="N16" s="14">
        <v>0.05</v>
      </c>
      <c r="O16" s="14">
        <v>0.05</v>
      </c>
      <c r="P16" s="14">
        <v>0.05</v>
      </c>
      <c r="Q16" s="14">
        <v>0.05</v>
      </c>
      <c r="R16" s="14">
        <v>0.05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2">
        <f t="shared" si="5"/>
        <v>0.74</v>
      </c>
      <c r="AB16" s="13">
        <f t="shared" si="2"/>
        <v>0.037</v>
      </c>
      <c r="AC16" s="7"/>
      <c r="AD16" s="3"/>
    </row>
    <row r="17">
      <c r="A17" s="8" t="s">
        <v>35</v>
      </c>
      <c r="B17" s="9">
        <v>0.15</v>
      </c>
      <c r="C17" s="14">
        <v>0.0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0.1</v>
      </c>
      <c r="L17" s="14">
        <v>0.1</v>
      </c>
      <c r="M17" s="14">
        <v>0.05</v>
      </c>
      <c r="N17" s="14">
        <v>0.05</v>
      </c>
      <c r="O17" s="14">
        <v>0.1</v>
      </c>
      <c r="P17" s="14">
        <v>0.1</v>
      </c>
      <c r="Q17" s="14">
        <v>0.1</v>
      </c>
      <c r="R17" s="14">
        <v>0.0</v>
      </c>
      <c r="S17" s="14">
        <v>0.1</v>
      </c>
      <c r="T17" s="14">
        <v>0.1</v>
      </c>
      <c r="U17" s="14">
        <v>0.1</v>
      </c>
      <c r="V17" s="14">
        <v>0.1</v>
      </c>
      <c r="W17" s="14">
        <v>0.0</v>
      </c>
      <c r="X17" s="14">
        <v>0.0</v>
      </c>
      <c r="Y17" s="14">
        <v>0.0</v>
      </c>
      <c r="Z17" s="14">
        <v>0.0</v>
      </c>
      <c r="AA17" s="12">
        <f t="shared" si="5"/>
        <v>1</v>
      </c>
      <c r="AB17" s="17">
        <f t="shared" si="2"/>
        <v>0.15</v>
      </c>
      <c r="AC17" s="7">
        <f>AB17</f>
        <v>0.15</v>
      </c>
      <c r="AD17" s="9">
        <v>0.15</v>
      </c>
      <c r="AE17" s="3">
        <f>AC17/AD17</f>
        <v>1</v>
      </c>
    </row>
    <row r="18">
      <c r="A18" s="8" t="s">
        <v>36</v>
      </c>
      <c r="B18" s="9">
        <f>SUM(B19:B20)</f>
        <v>0.15</v>
      </c>
      <c r="C18" s="14">
        <v>0.0</v>
      </c>
      <c r="D18" s="14">
        <v>0.0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  <c r="X18" s="14">
        <v>0.0</v>
      </c>
      <c r="Y18" s="14">
        <v>0.0</v>
      </c>
      <c r="Z18" s="14">
        <v>0.0</v>
      </c>
      <c r="AA18" s="4">
        <f>AVERAGE(AA19:AA20)</f>
        <v>0.35</v>
      </c>
      <c r="AB18" s="17">
        <f t="shared" ref="AB18:AB20" si="6">AA18*B18</f>
        <v>0.0525</v>
      </c>
      <c r="AC18" s="7"/>
      <c r="AD18" s="9"/>
    </row>
    <row r="19">
      <c r="A19" s="1" t="s">
        <v>50</v>
      </c>
      <c r="B19" s="16">
        <v>0.075</v>
      </c>
      <c r="C19" s="14">
        <v>0.0</v>
      </c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0.1</v>
      </c>
      <c r="T19" s="14">
        <v>0.4</v>
      </c>
      <c r="U19" s="14">
        <v>0.1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4">
        <f>SUM(C19:Z19)</f>
        <v>0.6</v>
      </c>
      <c r="AB19" s="13">
        <f t="shared" si="6"/>
        <v>0.045</v>
      </c>
      <c r="AC19" s="7"/>
      <c r="AD19" s="3"/>
    </row>
    <row r="20">
      <c r="A20" s="1" t="s">
        <v>51</v>
      </c>
      <c r="B20" s="16">
        <v>0.075</v>
      </c>
      <c r="C20" s="14">
        <v>0.0</v>
      </c>
      <c r="D20" s="14">
        <v>0.0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0.1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f>sum(C20:Z20)</f>
        <v>0.1</v>
      </c>
      <c r="AB20" s="13">
        <f t="shared" si="6"/>
        <v>0.0075</v>
      </c>
      <c r="AC20" s="7"/>
      <c r="AD20" s="3"/>
    </row>
    <row r="21">
      <c r="B21" s="3">
        <f>B18+B17+B12+B7+B2</f>
        <v>1</v>
      </c>
      <c r="C21" s="14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/>
      <c r="AB21" s="13">
        <f>SUM(AB18,AB12,AB7,AB2,AB17)</f>
        <v>0.789</v>
      </c>
      <c r="AC21" s="6">
        <f>SUM(AC7:AC18)</f>
        <v>0.789</v>
      </c>
      <c r="AD21" s="3"/>
    </row>
    <row r="22">
      <c r="C22" s="14"/>
      <c r="D22" s="14"/>
      <c r="E22" s="14"/>
      <c r="F22" s="14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2"/>
      <c r="AB22" s="13"/>
      <c r="AC22" s="7"/>
      <c r="AD22" s="3"/>
    </row>
    <row r="23">
      <c r="C23" s="14"/>
      <c r="D23" s="14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/>
      <c r="AB23" s="13"/>
      <c r="AC23" s="7"/>
      <c r="AD23" s="3"/>
    </row>
    <row r="24"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2"/>
      <c r="AB24" s="13"/>
      <c r="AC24" s="7"/>
      <c r="AD24" s="3"/>
    </row>
    <row r="25">
      <c r="C25" s="14"/>
      <c r="D25" s="14"/>
      <c r="E25" s="14"/>
      <c r="F25" s="14"/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/>
      <c r="AB25" s="13"/>
      <c r="AC25" s="7"/>
      <c r="AD25" s="3"/>
    </row>
    <row r="26">
      <c r="C26" s="14"/>
      <c r="D26" s="14"/>
      <c r="E26" s="14"/>
      <c r="F26" s="14"/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2"/>
      <c r="AB26" s="13"/>
      <c r="AC26" s="7"/>
      <c r="AD26" s="3"/>
    </row>
    <row r="27">
      <c r="C27" s="14"/>
      <c r="D27" s="14"/>
      <c r="E27" s="14"/>
      <c r="F27" s="14"/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/>
      <c r="AB27" s="13"/>
      <c r="AC27" s="7"/>
      <c r="AD27" s="3"/>
    </row>
    <row r="28">
      <c r="C28" s="14"/>
      <c r="D28" s="14"/>
      <c r="E28" s="14"/>
      <c r="F28" s="14"/>
      <c r="G28" s="1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2"/>
      <c r="AB28" s="13"/>
      <c r="AC28" s="7"/>
      <c r="AD28" s="3"/>
    </row>
    <row r="29"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/>
      <c r="AB29" s="13"/>
      <c r="AC29" s="7"/>
      <c r="AD29" s="3"/>
    </row>
    <row r="30">
      <c r="A30" s="18"/>
      <c r="C30" s="14"/>
      <c r="D30" s="14"/>
      <c r="E30" s="14"/>
      <c r="F30" s="14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2"/>
      <c r="AB30" s="13"/>
      <c r="AC30" s="7"/>
      <c r="AD30" s="3"/>
    </row>
    <row r="31">
      <c r="A31" s="18"/>
      <c r="C31" s="14"/>
      <c r="D31" s="14"/>
      <c r="E31" s="14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/>
      <c r="AB31" s="13"/>
      <c r="AC31" s="7"/>
      <c r="AD31" s="3"/>
    </row>
    <row r="32">
      <c r="C32" s="14"/>
      <c r="D32" s="14"/>
      <c r="E32" s="14"/>
      <c r="F32" s="14"/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2"/>
      <c r="AB32" s="13"/>
      <c r="AC32" s="7"/>
      <c r="AD32" s="3"/>
    </row>
    <row r="33"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2"/>
      <c r="AB33" s="13"/>
      <c r="AC33" s="7"/>
      <c r="AD33" s="3"/>
    </row>
    <row r="34">
      <c r="C34" s="14"/>
      <c r="D34" s="14"/>
      <c r="E34" s="14"/>
      <c r="F34" s="14"/>
      <c r="G34" s="1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2"/>
      <c r="AB34" s="13"/>
      <c r="AC34" s="7"/>
      <c r="AD34" s="3"/>
    </row>
    <row r="35">
      <c r="C35" s="14"/>
      <c r="D35" s="14"/>
      <c r="E35" s="14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"/>
      <c r="AB35" s="13"/>
      <c r="AC35" s="7"/>
      <c r="AD35" s="3"/>
    </row>
    <row r="36">
      <c r="C36" s="14"/>
      <c r="D36" s="14"/>
      <c r="E36" s="14"/>
      <c r="F36" s="14"/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2"/>
      <c r="AB36" s="13"/>
      <c r="AC36" s="7"/>
      <c r="AD36" s="3"/>
    </row>
    <row r="37">
      <c r="C37" s="14"/>
      <c r="D37" s="14"/>
      <c r="E37" s="14"/>
      <c r="F37" s="14"/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"/>
      <c r="AB37" s="13"/>
      <c r="AC37" s="7"/>
      <c r="AD37" s="3"/>
    </row>
    <row r="38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2"/>
      <c r="AB38" s="13"/>
      <c r="AC38" s="7"/>
      <c r="AD38" s="3"/>
    </row>
    <row r="39"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2"/>
      <c r="AB39" s="13"/>
      <c r="AC39" s="7"/>
      <c r="AD3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9.38"/>
    <col customWidth="1" min="3" max="3" width="11.75"/>
    <col customWidth="1" min="4" max="4" width="10.88"/>
  </cols>
  <sheetData>
    <row r="1">
      <c r="A1" s="1" t="s">
        <v>3</v>
      </c>
      <c r="B1" s="1" t="s">
        <v>7</v>
      </c>
      <c r="C1" s="1" t="s">
        <v>9</v>
      </c>
      <c r="D1" s="1" t="s">
        <v>11</v>
      </c>
    </row>
    <row r="2">
      <c r="A2" s="1" t="s">
        <v>13</v>
      </c>
      <c r="B2" s="3">
        <f>Tracker!B2</f>
        <v>0.2</v>
      </c>
      <c r="C2" s="6">
        <f>Tracker!AB2</f>
        <v>0.18</v>
      </c>
      <c r="D2" s="10" t="str">
        <f t="shared" ref="D2:D6" si="1">IF(C2&gt;0, "On-Progress", "Belum Mulai")</f>
        <v>On-Progress</v>
      </c>
    </row>
    <row r="3">
      <c r="A3" s="1" t="s">
        <v>33</v>
      </c>
      <c r="B3" s="3">
        <f>Tracker!B7</f>
        <v>0.3</v>
      </c>
      <c r="C3" s="6">
        <f>Tracker!AB7</f>
        <v>0.2325</v>
      </c>
      <c r="D3" s="10" t="str">
        <f t="shared" si="1"/>
        <v>On-Progress</v>
      </c>
    </row>
    <row r="4">
      <c r="A4" s="1" t="s">
        <v>34</v>
      </c>
      <c r="B4" s="3">
        <f>Tracker!B12</f>
        <v>0.2</v>
      </c>
      <c r="C4" s="6">
        <f>Tracker!AB12</f>
        <v>0.174</v>
      </c>
      <c r="D4" s="10" t="str">
        <f t="shared" si="1"/>
        <v>On-Progress</v>
      </c>
    </row>
    <row r="5">
      <c r="A5" s="1" t="s">
        <v>35</v>
      </c>
      <c r="B5" s="3">
        <f>Tracker!B17</f>
        <v>0.15</v>
      </c>
      <c r="C5" s="6">
        <f>Tracker!AB17</f>
        <v>0.15</v>
      </c>
      <c r="D5" s="10" t="str">
        <f t="shared" si="1"/>
        <v>On-Progress</v>
      </c>
    </row>
    <row r="6">
      <c r="A6" s="1" t="s">
        <v>36</v>
      </c>
      <c r="B6" s="3">
        <f>Tracker!B18</f>
        <v>0.15</v>
      </c>
      <c r="C6" s="6">
        <f>Tracker!AB18</f>
        <v>0.0525</v>
      </c>
      <c r="D6" s="10" t="str">
        <f t="shared" si="1"/>
        <v>On-Progress</v>
      </c>
    </row>
    <row r="7">
      <c r="A7" s="1" t="s">
        <v>37</v>
      </c>
      <c r="B7" s="3">
        <f t="shared" ref="B7:C7" si="2">SUM(B2:B6)</f>
        <v>1</v>
      </c>
      <c r="C7" s="6">
        <f t="shared" si="2"/>
        <v>0.789</v>
      </c>
    </row>
  </sheetData>
  <drawing r:id="rId1"/>
</worksheet>
</file>